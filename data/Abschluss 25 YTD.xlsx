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iHenke\Immobilien Töchter&amp;Söhne\LaKro\2. Jahresbericht erstellen\Schübelstrasse 10\"/>
    </mc:Choice>
  </mc:AlternateContent>
  <xr:revisionPtr revIDLastSave="0" documentId="8_{EBC41F16-8D01-407E-99BE-DB80AFCD09ED}" xr6:coauthVersionLast="47" xr6:coauthVersionMax="47" xr10:uidLastSave="{00000000-0000-0000-0000-000000000000}"/>
  <bookViews>
    <workbookView xWindow="1420" yWindow="2690" windowWidth="35920" windowHeight="15370" activeTab="2" xr2:uid="{00000000-000D-0000-FFFF-FFFF00000000}"/>
  </bookViews>
  <sheets>
    <sheet name="Bilanz" sheetId="1" r:id="rId1"/>
    <sheet name="Erfolgsrechnung" sheetId="2" r:id="rId2"/>
    <sheet name="Budget 26" sheetId="3" r:id="rId3"/>
    <sheet name="Informationen Abschluss 25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3" l="1"/>
  <c r="L40" i="3"/>
  <c r="L19" i="3"/>
  <c r="L24" i="3"/>
  <c r="L8" i="3"/>
  <c r="E8" i="3"/>
  <c r="E5" i="3" s="1"/>
  <c r="L5" i="3" l="1"/>
  <c r="L46" i="3" s="1"/>
</calcChain>
</file>

<file path=xl/sharedStrings.xml><?xml version="1.0" encoding="utf-8"?>
<sst xmlns="http://schemas.openxmlformats.org/spreadsheetml/2006/main" count="215" uniqueCount="130">
  <si>
    <t>Mandat</t>
  </si>
  <si>
    <t>Bilanzperiode</t>
  </si>
  <si>
    <t>Liegenschaft</t>
  </si>
  <si>
    <t>Erstellt am</t>
  </si>
  <si>
    <t>01.01.2025 - 31.12.2025</t>
  </si>
  <si>
    <t>Schübelstrasse 10, 8700 Küsnacht</t>
  </si>
  <si>
    <t>03.11.2025</t>
  </si>
  <si>
    <t>Aktiva</t>
  </si>
  <si>
    <t>CHF 187'153.83</t>
  </si>
  <si>
    <t>Bezeichnung</t>
  </si>
  <si>
    <t>Eröffnungssaldo</t>
  </si>
  <si>
    <t>Saldo</t>
  </si>
  <si>
    <t>Passiva</t>
  </si>
  <si>
    <t>CHF 52'364.92</t>
  </si>
  <si>
    <t>CHF 134'012.14</t>
  </si>
  <si>
    <t>Flüssige Mittel</t>
  </si>
  <si>
    <t>1020 - Bank 1 (ZKB CH43 0070 0114 8041 9372 1 - ZKB - CH4300700114804193721)</t>
  </si>
  <si>
    <t>CHF 29'925.24</t>
  </si>
  <si>
    <t>CHF 3'435.29</t>
  </si>
  <si>
    <t>Forderungen gegenüber Mieter</t>
  </si>
  <si>
    <t>1099 - Abrechnungskonto Heiz- und NK</t>
  </si>
  <si>
    <t>CHF 400.57</t>
  </si>
  <si>
    <t>1100 - Mieterausstände</t>
  </si>
  <si>
    <t>CHF -25'154.28</t>
  </si>
  <si>
    <t>CHF 3'034.72</t>
  </si>
  <si>
    <t>CHF 49'706.40</t>
  </si>
  <si>
    <t>Nebenkostenkonten für Verrechnung an Mieter</t>
  </si>
  <si>
    <t>1125 - Heizkosten nach Verbrauch</t>
  </si>
  <si>
    <t>CHF 33'168.90</t>
  </si>
  <si>
    <t>CHF 0.00</t>
  </si>
  <si>
    <t>Aktive Rechnungsabgrenzung</t>
  </si>
  <si>
    <t>1300 - Aktive Rechnungsabgrenzung</t>
  </si>
  <si>
    <t>CHF 3'924.00</t>
  </si>
  <si>
    <t>CHF -63'001.80</t>
  </si>
  <si>
    <t>Verbindlichkeiten aus Lieferung und Leistung</t>
  </si>
  <si>
    <t>2000 - Kreditoren</t>
  </si>
  <si>
    <t>CHF -17'581.80</t>
  </si>
  <si>
    <t>2030 - Sammelkonto Akonto Heiz- und Nebenkosten</t>
  </si>
  <si>
    <t>CHF -20'813.00</t>
  </si>
  <si>
    <t>CHF -45'420.00</t>
  </si>
  <si>
    <t>CHF -1'230.00</t>
  </si>
  <si>
    <t>übrige kurzfristigen Verbindlichkeiten</t>
  </si>
  <si>
    <t>2300 - Passive Rechnungsabgrenzung</t>
  </si>
  <si>
    <t>CHF -668.15</t>
  </si>
  <si>
    <t>2301 - Mietervorauszahlung</t>
  </si>
  <si>
    <t>CHF -2'380.00</t>
  </si>
  <si>
    <t>CHF 116'596.72</t>
  </si>
  <si>
    <t>Kapital der Eigentümer</t>
  </si>
  <si>
    <t>2800 - Eigenkapital</t>
  </si>
  <si>
    <t>CHF -36'669.10</t>
  </si>
  <si>
    <t>2850 - Barbezüge des Eigentümers</t>
  </si>
  <si>
    <t>CHF 18'265.82</t>
  </si>
  <si>
    <t>CHF 153'265.82</t>
  </si>
  <si>
    <t>Total Aktive:</t>
  </si>
  <si>
    <t>Total Passive:</t>
  </si>
  <si>
    <t>Differenz:</t>
  </si>
  <si>
    <t>CHF 239'518.75</t>
  </si>
  <si>
    <t>Erträge</t>
  </si>
  <si>
    <t>CHF -373'914.00</t>
  </si>
  <si>
    <t>Aufwände</t>
  </si>
  <si>
    <t>CHF 134'395.25</t>
  </si>
  <si>
    <t>Erträge aus Vermietung ohne MWST</t>
  </si>
  <si>
    <t>3000 - Wohnungen</t>
  </si>
  <si>
    <t>CHF -347'639.00</t>
  </si>
  <si>
    <t>3001 - Garagen</t>
  </si>
  <si>
    <t>CHF -18'975.00</t>
  </si>
  <si>
    <t>3002 - Gewerberäume</t>
  </si>
  <si>
    <t>CHF -7'300.00</t>
  </si>
  <si>
    <t>CHF 36'316.35</t>
  </si>
  <si>
    <t>Unterhaltsaufwände</t>
  </si>
  <si>
    <t>4000 - Unterhalt Aussen</t>
  </si>
  <si>
    <t>CHF 1'199.90</t>
  </si>
  <si>
    <t>4010 - Unterhalt im Inneren, alles ausser Wohnungen</t>
  </si>
  <si>
    <t>CHF 2'386.75</t>
  </si>
  <si>
    <t>4020 - Unterhalt in Wohnungen</t>
  </si>
  <si>
    <t>CHF 6'006.15</t>
  </si>
  <si>
    <t>4022 - Unterhalt in Wohnungen, Küche</t>
  </si>
  <si>
    <t>CHF 2'846.00</t>
  </si>
  <si>
    <t>4024 - Unterhalt in Wohnungen, Bad/WC</t>
  </si>
  <si>
    <t>CHF 266.45</t>
  </si>
  <si>
    <t>4060 - Unterhalt: Transportanlagen</t>
  </si>
  <si>
    <t>CHF 3'661.45</t>
  </si>
  <si>
    <t>4075 - Unterhalt Miteigentümerschaft</t>
  </si>
  <si>
    <t>CHF 19'949.65</t>
  </si>
  <si>
    <t>CHF 1'548.75</t>
  </si>
  <si>
    <t>Kosten zu Lasten Eigentümer</t>
  </si>
  <si>
    <t>4300 - Kantonale Gebäudeversicherung</t>
  </si>
  <si>
    <t>CHF 14'310.80</t>
  </si>
  <si>
    <t>Nebenkosten zu Lasten Eigentümer</t>
  </si>
  <si>
    <t>4500 - Pauschale Nebenkostenzahlungen z.L. Eigentümer</t>
  </si>
  <si>
    <t>CHF -5'588.00</t>
  </si>
  <si>
    <t>4520 - Strom z.L. Eigentümer</t>
  </si>
  <si>
    <t>CHF 2'080.05</t>
  </si>
  <si>
    <t>4530 - Wasser z.L. Eigentümer</t>
  </si>
  <si>
    <t>CHF 4'620.60</t>
  </si>
  <si>
    <t>4531 - Abwasser z.L. Eigentümer</t>
  </si>
  <si>
    <t>CHF 4'023.00</t>
  </si>
  <si>
    <t>4540 - Kehricht z.L. Eigentümer</t>
  </si>
  <si>
    <t>CHF 946.70</t>
  </si>
  <si>
    <t>4550 - Hauswartung z.L. Eigentümer</t>
  </si>
  <si>
    <t>CHF 8'228.45</t>
  </si>
  <si>
    <t>CHF 18'943.90</t>
  </si>
  <si>
    <t>Verwaltungsaufwand</t>
  </si>
  <si>
    <t>6505 - Honorar Liegenschaftsverwaltung</t>
  </si>
  <si>
    <t>CHF 14'680.55</t>
  </si>
  <si>
    <t>6590 - Beratung und Entwicklung</t>
  </si>
  <si>
    <t>CHF 4'263.35</t>
  </si>
  <si>
    <t>CHF 63'275.45</t>
  </si>
  <si>
    <t>Finanzaufwand</t>
  </si>
  <si>
    <t>6902 - Zinsaufwand Hypotheken</t>
  </si>
  <si>
    <t>Total Ertrag:</t>
  </si>
  <si>
    <t>Total Aufwand:</t>
  </si>
  <si>
    <t>Profit:</t>
  </si>
  <si>
    <t>CHF -239'518.75</t>
  </si>
  <si>
    <t>EGS</t>
  </si>
  <si>
    <t>Es hat im August einn grösseres Leck an einer Steigleitung gegeben.</t>
  </si>
  <si>
    <t>Der Schaden wurde behoben und der Versicherung gemeldet.</t>
  </si>
  <si>
    <t>Total Kosten ca. 10'000 CHF</t>
  </si>
  <si>
    <t>Es mussten Wände in insgesamt 3 Wohnungen geöffnet werden, um das Leck zu finden</t>
  </si>
  <si>
    <t>Wohnungen und Garagen wurden zu 100% vermietet.</t>
  </si>
  <si>
    <t>Es gab keinen Leerstand.</t>
  </si>
  <si>
    <t>Es gab im Jahr 2025 keine Mieterwechsel.</t>
  </si>
  <si>
    <t>Auf Grund von Referenzzinssatzsenkung gab es einige Herabsetzungsbegehren</t>
  </si>
  <si>
    <t>Diesen musste allen stattgegeben werden.</t>
  </si>
  <si>
    <t>Die Effekte werden erst im Jahr 2026 spühr bar sein.</t>
  </si>
  <si>
    <t>Die Diskussion mit den übrigen Parteien in der Miteigentümgemeinschaft zur Wärmekostenverteilung laufen.</t>
  </si>
  <si>
    <t>Noch ist eine Lösung nicht in Sicht.</t>
  </si>
  <si>
    <t>Aus diesem Grund wurden mit den Mietern die Nebenkosten 2024/2025 noch nicht abgerechnet.</t>
  </si>
  <si>
    <t>Bis Ende März 2026 muss diese erfolgt sein.</t>
  </si>
  <si>
    <t>Budgetierter Jahresüberschuss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</si>
</sst>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CHF&quot;\ #,##0.00"/>
  </numFmts>
  <fonts count="6" x14ac:knownFonts="1">
    <font>
      <sz val="11"/>
      <color rgb="FF000000"/>
      <name val="Calibri"/>
    </font>
    <font>
      <b/>
      <sz val="16"/>
      <color rgb="FF000000"/>
      <name val="Calibri"/>
    </font>
    <font>
      <b/>
      <sz val="18"/>
      <color rgb="FFFFFFFF"/>
      <name val="Calibri"/>
    </font>
    <font>
      <sz val="11"/>
      <color rgb="FFA5A5A5"/>
      <name val="Calibri"/>
    </font>
    <font>
      <b/>
      <sz val="11"/>
      <color rgb="FF000000"/>
      <name val="Calibri"/>
    </font>
    <font>
      <b/>
      <sz val="18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/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164" fontId="4" fillId="3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1"/>
  <sheetViews>
    <sheetView showGridLines="0" workbookViewId="0">
      <selection activeCell="C3" sqref="C3"/>
    </sheetView>
  </sheetViews>
  <sheetFormatPr baseColWidth="10" defaultColWidth="8.7265625" defaultRowHeight="14.5" x14ac:dyDescent="0.35"/>
  <cols>
    <col min="2" max="3" width="20" style="1" customWidth="1"/>
    <col min="4" max="5" width="20" style="2" customWidth="1"/>
    <col min="6" max="8" width="1" customWidth="1"/>
    <col min="9" max="10" width="20" style="1" customWidth="1"/>
    <col min="11" max="12" width="20" style="2" customWidth="1"/>
  </cols>
  <sheetData>
    <row r="2" spans="2:12" ht="21" customHeight="1" x14ac:dyDescent="0.5">
      <c r="B2" s="3" t="s">
        <v>0</v>
      </c>
      <c r="C2" s="3" t="s">
        <v>114</v>
      </c>
    </row>
    <row r="3" spans="2:12" ht="21" customHeight="1" x14ac:dyDescent="0.5">
      <c r="B3" s="3" t="s">
        <v>1</v>
      </c>
      <c r="C3" s="3" t="s">
        <v>4</v>
      </c>
      <c r="I3" s="1" t="s">
        <v>53</v>
      </c>
      <c r="J3" s="1" t="s">
        <v>8</v>
      </c>
    </row>
    <row r="4" spans="2:12" ht="21" customHeight="1" x14ac:dyDescent="0.5">
      <c r="B4" s="3" t="s">
        <v>2</v>
      </c>
      <c r="C4" s="3" t="s">
        <v>5</v>
      </c>
      <c r="I4" s="1" t="s">
        <v>54</v>
      </c>
      <c r="J4" s="1" t="s">
        <v>13</v>
      </c>
      <c r="K4" s="2" t="s">
        <v>55</v>
      </c>
      <c r="L4" s="2" t="s">
        <v>56</v>
      </c>
    </row>
    <row r="5" spans="2:12" ht="21" customHeight="1" x14ac:dyDescent="0.5">
      <c r="B5" s="3" t="s">
        <v>3</v>
      </c>
      <c r="C5" s="3" t="s">
        <v>6</v>
      </c>
    </row>
    <row r="10" spans="2:12" ht="28" customHeight="1" x14ac:dyDescent="0.55000000000000004">
      <c r="B10" s="4" t="s">
        <v>7</v>
      </c>
      <c r="C10" s="4"/>
      <c r="D10" s="5"/>
      <c r="E10" s="5" t="s">
        <v>8</v>
      </c>
      <c r="I10" s="4" t="s">
        <v>12</v>
      </c>
      <c r="J10" s="4"/>
      <c r="K10" s="5"/>
      <c r="L10" s="5" t="s">
        <v>13</v>
      </c>
    </row>
    <row r="11" spans="2:12" x14ac:dyDescent="0.35">
      <c r="B11" s="6"/>
      <c r="C11" s="6" t="s">
        <v>9</v>
      </c>
      <c r="D11" s="7" t="s">
        <v>10</v>
      </c>
      <c r="E11" s="7" t="s">
        <v>11</v>
      </c>
      <c r="F11" s="8"/>
      <c r="G11" s="8"/>
      <c r="H11" s="8"/>
      <c r="I11" s="6"/>
      <c r="J11" s="6" t="s">
        <v>9</v>
      </c>
      <c r="K11" s="7" t="s">
        <v>10</v>
      </c>
      <c r="L11" s="7" t="s">
        <v>11</v>
      </c>
    </row>
    <row r="13" spans="2:12" x14ac:dyDescent="0.35">
      <c r="B13" s="9" t="s">
        <v>15</v>
      </c>
      <c r="C13" s="9"/>
      <c r="D13" s="10"/>
      <c r="E13" s="10" t="s">
        <v>14</v>
      </c>
      <c r="I13" s="9" t="s">
        <v>34</v>
      </c>
      <c r="J13" s="9"/>
      <c r="K13" s="10"/>
      <c r="L13" s="10" t="s">
        <v>33</v>
      </c>
    </row>
    <row r="15" spans="2:12" x14ac:dyDescent="0.35">
      <c r="B15" s="1">
        <v>1020</v>
      </c>
      <c r="C15" s="1" t="s">
        <v>16</v>
      </c>
      <c r="D15" s="2" t="s">
        <v>17</v>
      </c>
      <c r="E15" s="2" t="s">
        <v>14</v>
      </c>
      <c r="I15" s="1">
        <v>2000</v>
      </c>
      <c r="J15" s="1" t="s">
        <v>35</v>
      </c>
      <c r="K15" s="2" t="s">
        <v>29</v>
      </c>
      <c r="L15" s="2" t="s">
        <v>36</v>
      </c>
    </row>
    <row r="16" spans="2:12" x14ac:dyDescent="0.35">
      <c r="I16" s="1">
        <v>2030</v>
      </c>
      <c r="J16" s="1" t="s">
        <v>37</v>
      </c>
      <c r="K16" s="2" t="s">
        <v>38</v>
      </c>
      <c r="L16" s="2" t="s">
        <v>39</v>
      </c>
    </row>
    <row r="18" spans="2:12" x14ac:dyDescent="0.35">
      <c r="B18" s="9" t="s">
        <v>19</v>
      </c>
      <c r="C18" s="9"/>
      <c r="D18" s="10"/>
      <c r="E18" s="10" t="s">
        <v>18</v>
      </c>
    </row>
    <row r="19" spans="2:12" x14ac:dyDescent="0.35">
      <c r="I19" s="9" t="s">
        <v>41</v>
      </c>
      <c r="J19" s="9"/>
      <c r="K19" s="10"/>
      <c r="L19" s="10" t="s">
        <v>40</v>
      </c>
    </row>
    <row r="20" spans="2:12" x14ac:dyDescent="0.35">
      <c r="B20" s="1">
        <v>1099</v>
      </c>
      <c r="C20" s="1" t="s">
        <v>20</v>
      </c>
      <c r="D20" s="2" t="s">
        <v>21</v>
      </c>
      <c r="E20" s="2" t="s">
        <v>21</v>
      </c>
    </row>
    <row r="21" spans="2:12" x14ac:dyDescent="0.35">
      <c r="B21" s="1">
        <v>1100</v>
      </c>
      <c r="C21" s="1" t="s">
        <v>22</v>
      </c>
      <c r="D21" s="2" t="s">
        <v>23</v>
      </c>
      <c r="E21" s="2" t="s">
        <v>24</v>
      </c>
      <c r="I21" s="1">
        <v>2300</v>
      </c>
      <c r="J21" s="1" t="s">
        <v>42</v>
      </c>
      <c r="K21" s="2" t="s">
        <v>43</v>
      </c>
      <c r="L21" s="2" t="s">
        <v>29</v>
      </c>
    </row>
    <row r="22" spans="2:12" x14ac:dyDescent="0.35">
      <c r="I22" s="1">
        <v>2301</v>
      </c>
      <c r="J22" s="1" t="s">
        <v>44</v>
      </c>
      <c r="K22" s="2" t="s">
        <v>45</v>
      </c>
      <c r="L22" s="2" t="s">
        <v>40</v>
      </c>
    </row>
    <row r="24" spans="2:12" x14ac:dyDescent="0.35">
      <c r="B24" s="9" t="s">
        <v>26</v>
      </c>
      <c r="C24" s="9"/>
      <c r="D24" s="10"/>
      <c r="E24" s="10" t="s">
        <v>25</v>
      </c>
    </row>
    <row r="25" spans="2:12" x14ac:dyDescent="0.35">
      <c r="I25" s="9" t="s">
        <v>47</v>
      </c>
      <c r="J25" s="9"/>
      <c r="K25" s="10"/>
      <c r="L25" s="10" t="s">
        <v>46</v>
      </c>
    </row>
    <row r="26" spans="2:12" x14ac:dyDescent="0.35">
      <c r="B26" s="1">
        <v>1125</v>
      </c>
      <c r="C26" s="1" t="s">
        <v>27</v>
      </c>
      <c r="D26" s="2" t="s">
        <v>28</v>
      </c>
      <c r="E26" s="2" t="s">
        <v>25</v>
      </c>
    </row>
    <row r="27" spans="2:12" x14ac:dyDescent="0.35">
      <c r="I27" s="1">
        <v>2800</v>
      </c>
      <c r="J27" s="1" t="s">
        <v>48</v>
      </c>
      <c r="K27" s="2" t="s">
        <v>49</v>
      </c>
      <c r="L27" s="2" t="s">
        <v>49</v>
      </c>
    </row>
    <row r="28" spans="2:12" x14ac:dyDescent="0.35">
      <c r="I28" s="1">
        <v>2850</v>
      </c>
      <c r="J28" s="1" t="s">
        <v>50</v>
      </c>
      <c r="K28" s="2" t="s">
        <v>51</v>
      </c>
      <c r="L28" s="2" t="s">
        <v>52</v>
      </c>
    </row>
    <row r="29" spans="2:12" x14ac:dyDescent="0.35">
      <c r="B29" s="9" t="s">
        <v>30</v>
      </c>
      <c r="C29" s="9"/>
      <c r="D29" s="10"/>
      <c r="E29" s="10" t="s">
        <v>29</v>
      </c>
    </row>
    <row r="31" spans="2:12" x14ac:dyDescent="0.35">
      <c r="B31" s="1">
        <v>1300</v>
      </c>
      <c r="C31" s="1" t="s">
        <v>31</v>
      </c>
      <c r="D31" s="2" t="s">
        <v>32</v>
      </c>
      <c r="E31" s="2" t="s">
        <v>29</v>
      </c>
    </row>
  </sheetData>
  <pageMargins left="0.7" right="0.7" top="0.75" bottom="0.75" header="0.3" footer="0.3"/>
  <pageSetup paperSize="9" scale="6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47"/>
  <sheetViews>
    <sheetView showGridLines="0" topLeftCell="A3" workbookViewId="0">
      <selection activeCell="B10" sqref="B10:L49"/>
    </sheetView>
  </sheetViews>
  <sheetFormatPr baseColWidth="10" defaultColWidth="8.7265625" defaultRowHeight="14.5" x14ac:dyDescent="0.35"/>
  <cols>
    <col min="2" max="3" width="20" style="1" customWidth="1"/>
    <col min="4" max="5" width="20" style="2" customWidth="1"/>
    <col min="6" max="8" width="1" customWidth="1"/>
    <col min="9" max="10" width="20" style="1" customWidth="1"/>
    <col min="11" max="12" width="20" style="2" customWidth="1"/>
  </cols>
  <sheetData>
    <row r="2" spans="2:12" ht="21" customHeight="1" x14ac:dyDescent="0.5">
      <c r="B2" s="3" t="s">
        <v>0</v>
      </c>
      <c r="C2" s="3" t="s">
        <v>114</v>
      </c>
    </row>
    <row r="3" spans="2:12" ht="21" customHeight="1" x14ac:dyDescent="0.5">
      <c r="B3" s="3" t="s">
        <v>1</v>
      </c>
      <c r="C3" s="3" t="s">
        <v>4</v>
      </c>
      <c r="I3" s="1" t="s">
        <v>110</v>
      </c>
      <c r="J3" s="1" t="s">
        <v>58</v>
      </c>
    </row>
    <row r="4" spans="2:12" ht="21" customHeight="1" x14ac:dyDescent="0.5">
      <c r="B4" s="3" t="s">
        <v>2</v>
      </c>
      <c r="C4" s="3" t="s">
        <v>5</v>
      </c>
      <c r="I4" s="1" t="s">
        <v>111</v>
      </c>
      <c r="J4" s="1" t="s">
        <v>60</v>
      </c>
      <c r="K4" s="2" t="s">
        <v>112</v>
      </c>
      <c r="L4" s="2" t="s">
        <v>113</v>
      </c>
    </row>
    <row r="5" spans="2:12" ht="21" customHeight="1" x14ac:dyDescent="0.5">
      <c r="B5" s="3" t="s">
        <v>3</v>
      </c>
      <c r="C5" s="3" t="s">
        <v>6</v>
      </c>
    </row>
    <row r="10" spans="2:12" ht="28" customHeight="1" x14ac:dyDescent="0.55000000000000004">
      <c r="B10" s="4" t="s">
        <v>57</v>
      </c>
      <c r="C10" s="4"/>
      <c r="D10" s="5"/>
      <c r="E10" s="5" t="s">
        <v>58</v>
      </c>
      <c r="I10" s="4" t="s">
        <v>59</v>
      </c>
      <c r="J10" s="4"/>
      <c r="K10" s="5"/>
      <c r="L10" s="5" t="s">
        <v>60</v>
      </c>
    </row>
    <row r="11" spans="2:12" x14ac:dyDescent="0.35">
      <c r="B11" s="6"/>
      <c r="C11" s="6" t="s">
        <v>9</v>
      </c>
      <c r="D11" s="7" t="s">
        <v>10</v>
      </c>
      <c r="E11" s="7" t="s">
        <v>11</v>
      </c>
      <c r="F11" s="8"/>
      <c r="G11" s="8"/>
      <c r="H11" s="8"/>
      <c r="I11" s="6"/>
      <c r="J11" s="6" t="s">
        <v>9</v>
      </c>
      <c r="K11" s="7" t="s">
        <v>10</v>
      </c>
      <c r="L11" s="7" t="s">
        <v>11</v>
      </c>
    </row>
    <row r="13" spans="2:12" x14ac:dyDescent="0.35">
      <c r="B13" s="9" t="s">
        <v>61</v>
      </c>
      <c r="C13" s="9"/>
      <c r="D13" s="10"/>
      <c r="E13" s="10" t="s">
        <v>58</v>
      </c>
      <c r="I13" s="9" t="s">
        <v>69</v>
      </c>
      <c r="J13" s="9"/>
      <c r="K13" s="10"/>
      <c r="L13" s="10" t="s">
        <v>68</v>
      </c>
    </row>
    <row r="15" spans="2:12" x14ac:dyDescent="0.35">
      <c r="B15" s="1">
        <v>3000</v>
      </c>
      <c r="C15" s="1" t="s">
        <v>62</v>
      </c>
      <c r="D15" s="2" t="s">
        <v>29</v>
      </c>
      <c r="E15" s="2" t="s">
        <v>63</v>
      </c>
      <c r="I15" s="1">
        <v>4000</v>
      </c>
      <c r="J15" s="1" t="s">
        <v>70</v>
      </c>
      <c r="K15" s="2" t="s">
        <v>29</v>
      </c>
      <c r="L15" s="2" t="s">
        <v>71</v>
      </c>
    </row>
    <row r="16" spans="2:12" x14ac:dyDescent="0.35">
      <c r="B16" s="1">
        <v>3001</v>
      </c>
      <c r="C16" s="1" t="s">
        <v>64</v>
      </c>
      <c r="D16" s="2" t="s">
        <v>29</v>
      </c>
      <c r="E16" s="2" t="s">
        <v>65</v>
      </c>
      <c r="I16" s="1">
        <v>4010</v>
      </c>
      <c r="J16" s="1" t="s">
        <v>72</v>
      </c>
      <c r="K16" s="2" t="s">
        <v>29</v>
      </c>
      <c r="L16" s="2" t="s">
        <v>73</v>
      </c>
    </row>
    <row r="17" spans="2:12" x14ac:dyDescent="0.35">
      <c r="B17" s="1">
        <v>3002</v>
      </c>
      <c r="C17" s="1" t="s">
        <v>66</v>
      </c>
      <c r="D17" s="2" t="s">
        <v>29</v>
      </c>
      <c r="E17" s="2" t="s">
        <v>67</v>
      </c>
      <c r="I17" s="1">
        <v>4020</v>
      </c>
      <c r="J17" s="1" t="s">
        <v>74</v>
      </c>
      <c r="K17" s="2" t="s">
        <v>29</v>
      </c>
      <c r="L17" s="2" t="s">
        <v>75</v>
      </c>
    </row>
    <row r="18" spans="2:12" x14ac:dyDescent="0.35">
      <c r="I18" s="1">
        <v>4022</v>
      </c>
      <c r="J18" s="1" t="s">
        <v>76</v>
      </c>
      <c r="K18" s="2" t="s">
        <v>29</v>
      </c>
      <c r="L18" s="2" t="s">
        <v>77</v>
      </c>
    </row>
    <row r="19" spans="2:12" x14ac:dyDescent="0.35">
      <c r="I19" s="1">
        <v>4024</v>
      </c>
      <c r="J19" s="1" t="s">
        <v>78</v>
      </c>
      <c r="K19" s="2" t="s">
        <v>29</v>
      </c>
      <c r="L19" s="2" t="s">
        <v>79</v>
      </c>
    </row>
    <row r="20" spans="2:12" x14ac:dyDescent="0.35">
      <c r="I20" s="1">
        <v>4060</v>
      </c>
      <c r="J20" s="1" t="s">
        <v>80</v>
      </c>
      <c r="K20" s="2" t="s">
        <v>29</v>
      </c>
      <c r="L20" s="2" t="s">
        <v>81</v>
      </c>
    </row>
    <row r="21" spans="2:12" x14ac:dyDescent="0.35">
      <c r="I21" s="1">
        <v>4075</v>
      </c>
      <c r="J21" s="1" t="s">
        <v>82</v>
      </c>
      <c r="K21" s="2" t="s">
        <v>29</v>
      </c>
      <c r="L21" s="2" t="s">
        <v>83</v>
      </c>
    </row>
    <row r="24" spans="2:12" x14ac:dyDescent="0.35">
      <c r="I24" s="9" t="s">
        <v>85</v>
      </c>
      <c r="J24" s="9"/>
      <c r="K24" s="10"/>
      <c r="L24" s="10" t="s">
        <v>84</v>
      </c>
    </row>
    <row r="26" spans="2:12" x14ac:dyDescent="0.35">
      <c r="I26" s="1">
        <v>4300</v>
      </c>
      <c r="J26" s="1" t="s">
        <v>86</v>
      </c>
      <c r="K26" s="2" t="s">
        <v>29</v>
      </c>
      <c r="L26" s="2" t="s">
        <v>84</v>
      </c>
    </row>
    <row r="29" spans="2:12" x14ac:dyDescent="0.35">
      <c r="I29" s="9" t="s">
        <v>88</v>
      </c>
      <c r="J29" s="9"/>
      <c r="K29" s="10"/>
      <c r="L29" s="10" t="s">
        <v>87</v>
      </c>
    </row>
    <row r="31" spans="2:12" x14ac:dyDescent="0.35">
      <c r="I31" s="1">
        <v>4500</v>
      </c>
      <c r="J31" s="1" t="s">
        <v>89</v>
      </c>
      <c r="K31" s="2" t="s">
        <v>29</v>
      </c>
      <c r="L31" s="2" t="s">
        <v>90</v>
      </c>
    </row>
    <row r="32" spans="2:12" x14ac:dyDescent="0.35">
      <c r="I32" s="1">
        <v>4520</v>
      </c>
      <c r="J32" s="1" t="s">
        <v>91</v>
      </c>
      <c r="K32" s="2" t="s">
        <v>29</v>
      </c>
      <c r="L32" s="2" t="s">
        <v>92</v>
      </c>
    </row>
    <row r="33" spans="9:12" x14ac:dyDescent="0.35">
      <c r="I33" s="1">
        <v>4530</v>
      </c>
      <c r="J33" s="1" t="s">
        <v>93</v>
      </c>
      <c r="K33" s="2" t="s">
        <v>29</v>
      </c>
      <c r="L33" s="2" t="s">
        <v>94</v>
      </c>
    </row>
    <row r="34" spans="9:12" x14ac:dyDescent="0.35">
      <c r="I34" s="1">
        <v>4531</v>
      </c>
      <c r="J34" s="1" t="s">
        <v>95</v>
      </c>
      <c r="K34" s="2" t="s">
        <v>29</v>
      </c>
      <c r="L34" s="2" t="s">
        <v>96</v>
      </c>
    </row>
    <row r="35" spans="9:12" x14ac:dyDescent="0.35">
      <c r="I35" s="1">
        <v>4540</v>
      </c>
      <c r="J35" s="1" t="s">
        <v>97</v>
      </c>
      <c r="K35" s="2" t="s">
        <v>29</v>
      </c>
      <c r="L35" s="2" t="s">
        <v>98</v>
      </c>
    </row>
    <row r="36" spans="9:12" x14ac:dyDescent="0.35">
      <c r="I36" s="1">
        <v>4550</v>
      </c>
      <c r="J36" s="1" t="s">
        <v>99</v>
      </c>
      <c r="K36" s="2" t="s">
        <v>29</v>
      </c>
      <c r="L36" s="2" t="s">
        <v>100</v>
      </c>
    </row>
    <row r="39" spans="9:12" x14ac:dyDescent="0.35">
      <c r="I39" s="9" t="s">
        <v>102</v>
      </c>
      <c r="J39" s="9"/>
      <c r="K39" s="10"/>
      <c r="L39" s="10" t="s">
        <v>101</v>
      </c>
    </row>
    <row r="41" spans="9:12" x14ac:dyDescent="0.35">
      <c r="I41" s="1">
        <v>6505</v>
      </c>
      <c r="J41" s="1" t="s">
        <v>103</v>
      </c>
      <c r="K41" s="2" t="s">
        <v>29</v>
      </c>
      <c r="L41" s="2" t="s">
        <v>104</v>
      </c>
    </row>
    <row r="42" spans="9:12" x14ac:dyDescent="0.35">
      <c r="I42" s="1">
        <v>6590</v>
      </c>
      <c r="J42" s="1" t="s">
        <v>105</v>
      </c>
      <c r="K42" s="2" t="s">
        <v>29</v>
      </c>
      <c r="L42" s="2" t="s">
        <v>106</v>
      </c>
    </row>
    <row r="45" spans="9:12" x14ac:dyDescent="0.35">
      <c r="I45" s="9" t="s">
        <v>108</v>
      </c>
      <c r="J45" s="9"/>
      <c r="K45" s="10"/>
      <c r="L45" s="10" t="s">
        <v>107</v>
      </c>
    </row>
    <row r="47" spans="9:12" x14ac:dyDescent="0.35">
      <c r="I47" s="1">
        <v>6902</v>
      </c>
      <c r="J47" s="1" t="s">
        <v>109</v>
      </c>
      <c r="K47" s="2" t="s">
        <v>29</v>
      </c>
      <c r="L47" s="2" t="s">
        <v>107</v>
      </c>
    </row>
  </sheetData>
  <pageMargins left="0.7" right="0.7" top="0.75" bottom="0.75" header="0.3" footer="0.3"/>
  <pageSetup paperSize="9" scale="6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E6CFC-0B36-467B-B090-422DADEA5E52}">
  <dimension ref="B5:L46"/>
  <sheetViews>
    <sheetView tabSelected="1" workbookViewId="0">
      <selection activeCell="L51" sqref="L51"/>
    </sheetView>
  </sheetViews>
  <sheetFormatPr baseColWidth="10" defaultRowHeight="14.5" x14ac:dyDescent="0.35"/>
  <cols>
    <col min="3" max="3" width="24" customWidth="1"/>
    <col min="4" max="4" width="22.54296875" customWidth="1"/>
    <col min="5" max="5" width="22.26953125" bestFit="1" customWidth="1"/>
    <col min="10" max="10" width="51.81640625" customWidth="1"/>
    <col min="12" max="12" width="25.81640625" customWidth="1"/>
  </cols>
  <sheetData>
    <row r="5" spans="2:12" ht="23.5" x14ac:dyDescent="0.55000000000000004">
      <c r="B5" s="4" t="s">
        <v>57</v>
      </c>
      <c r="C5" s="4"/>
      <c r="D5" s="5"/>
      <c r="E5" s="13">
        <f>+E8</f>
        <v>402300</v>
      </c>
      <c r="I5" s="4" t="s">
        <v>59</v>
      </c>
      <c r="J5" s="4"/>
      <c r="K5" s="5"/>
      <c r="L5" s="13">
        <f>+L8+L19+L24+L34+L40</f>
        <v>146050</v>
      </c>
    </row>
    <row r="6" spans="2:12" x14ac:dyDescent="0.35">
      <c r="B6" s="6"/>
      <c r="C6" s="6" t="s">
        <v>9</v>
      </c>
      <c r="D6" s="7" t="s">
        <v>10</v>
      </c>
      <c r="E6" s="7" t="s">
        <v>11</v>
      </c>
      <c r="F6" s="8"/>
      <c r="G6" s="8"/>
      <c r="H6" s="8"/>
      <c r="I6" s="6"/>
      <c r="J6" s="6" t="s">
        <v>9</v>
      </c>
      <c r="K6" s="7"/>
      <c r="L6" s="7" t="s">
        <v>11</v>
      </c>
    </row>
    <row r="7" spans="2:12" x14ac:dyDescent="0.35">
      <c r="B7" s="1"/>
      <c r="C7" s="1"/>
      <c r="D7" s="2"/>
      <c r="E7" s="2"/>
      <c r="I7" s="1"/>
      <c r="J7" s="1"/>
      <c r="K7" s="2"/>
      <c r="L7" s="2"/>
    </row>
    <row r="8" spans="2:12" x14ac:dyDescent="0.35">
      <c r="B8" s="9" t="s">
        <v>61</v>
      </c>
      <c r="C8" s="9"/>
      <c r="D8" s="10"/>
      <c r="E8" s="12">
        <f>SUM(E10:E12)</f>
        <v>402300</v>
      </c>
      <c r="I8" s="9" t="s">
        <v>69</v>
      </c>
      <c r="J8" s="9"/>
      <c r="K8" s="10"/>
      <c r="L8" s="12">
        <f>SUM(L10:L16)</f>
        <v>38700</v>
      </c>
    </row>
    <row r="9" spans="2:12" x14ac:dyDescent="0.35">
      <c r="B9" s="1"/>
      <c r="C9" s="1"/>
      <c r="D9" s="2"/>
      <c r="E9" s="2"/>
      <c r="I9" s="1"/>
      <c r="J9" s="1"/>
      <c r="K9" s="2"/>
      <c r="L9" s="2"/>
    </row>
    <row r="10" spans="2:12" x14ac:dyDescent="0.35">
      <c r="B10" s="1">
        <v>3000</v>
      </c>
      <c r="C10" s="1" t="s">
        <v>62</v>
      </c>
      <c r="D10" s="2"/>
      <c r="E10" s="11">
        <v>375000</v>
      </c>
      <c r="I10" s="1">
        <v>4000</v>
      </c>
      <c r="J10" s="1" t="s">
        <v>70</v>
      </c>
      <c r="K10" s="2"/>
      <c r="L10" s="11">
        <v>2000</v>
      </c>
    </row>
    <row r="11" spans="2:12" x14ac:dyDescent="0.35">
      <c r="B11" s="1">
        <v>3001</v>
      </c>
      <c r="C11" s="1" t="s">
        <v>64</v>
      </c>
      <c r="D11" s="2"/>
      <c r="E11" s="11">
        <v>20000</v>
      </c>
      <c r="I11" s="1">
        <v>4010</v>
      </c>
      <c r="J11" s="1" t="s">
        <v>72</v>
      </c>
      <c r="K11" s="2"/>
      <c r="L11" s="11">
        <v>3000</v>
      </c>
    </row>
    <row r="12" spans="2:12" x14ac:dyDescent="0.35">
      <c r="B12" s="1">
        <v>3002</v>
      </c>
      <c r="C12" s="1" t="s">
        <v>66</v>
      </c>
      <c r="D12" s="2"/>
      <c r="E12" s="11">
        <v>7300</v>
      </c>
      <c r="I12" s="1">
        <v>4020</v>
      </c>
      <c r="J12" s="1" t="s">
        <v>74</v>
      </c>
      <c r="K12" s="2"/>
      <c r="L12" s="11">
        <v>6000</v>
      </c>
    </row>
    <row r="13" spans="2:12" x14ac:dyDescent="0.35">
      <c r="B13" s="1"/>
      <c r="C13" s="1"/>
      <c r="D13" s="2"/>
      <c r="E13" s="2"/>
      <c r="I13" s="1">
        <v>4022</v>
      </c>
      <c r="J13" s="1" t="s">
        <v>76</v>
      </c>
      <c r="K13" s="2"/>
      <c r="L13" s="11">
        <v>3000</v>
      </c>
    </row>
    <row r="14" spans="2:12" x14ac:dyDescent="0.35">
      <c r="B14" s="1"/>
      <c r="C14" s="1"/>
      <c r="D14" s="2"/>
      <c r="E14" s="2"/>
      <c r="I14" s="1">
        <v>4024</v>
      </c>
      <c r="J14" s="1" t="s">
        <v>78</v>
      </c>
      <c r="K14" s="2"/>
      <c r="L14" s="11">
        <v>1000</v>
      </c>
    </row>
    <row r="15" spans="2:12" x14ac:dyDescent="0.35">
      <c r="B15" s="1"/>
      <c r="C15" s="1"/>
      <c r="D15" s="2"/>
      <c r="E15" s="2"/>
      <c r="I15" s="1">
        <v>4060</v>
      </c>
      <c r="J15" s="1" t="s">
        <v>80</v>
      </c>
      <c r="K15" s="2"/>
      <c r="L15" s="11">
        <v>3700</v>
      </c>
    </row>
    <row r="16" spans="2:12" x14ac:dyDescent="0.35">
      <c r="B16" s="1"/>
      <c r="C16" s="1"/>
      <c r="D16" s="2"/>
      <c r="E16" s="2"/>
      <c r="I16" s="1">
        <v>4075</v>
      </c>
      <c r="J16" s="1" t="s">
        <v>82</v>
      </c>
      <c r="K16" s="2"/>
      <c r="L16" s="11">
        <v>20000</v>
      </c>
    </row>
    <row r="17" spans="2:12" x14ac:dyDescent="0.35">
      <c r="B17" s="1"/>
      <c r="C17" s="1"/>
      <c r="D17" s="2"/>
      <c r="E17" s="2"/>
      <c r="I17" s="1"/>
      <c r="J17" s="1"/>
      <c r="K17" s="2"/>
      <c r="L17" s="11"/>
    </row>
    <row r="18" spans="2:12" x14ac:dyDescent="0.35">
      <c r="B18" s="1"/>
      <c r="C18" s="1"/>
      <c r="D18" s="2"/>
      <c r="E18" s="2"/>
      <c r="I18" s="1"/>
      <c r="J18" s="1"/>
      <c r="K18" s="2"/>
      <c r="L18" s="2"/>
    </row>
    <row r="19" spans="2:12" x14ac:dyDescent="0.35">
      <c r="B19" s="1"/>
      <c r="C19" s="1"/>
      <c r="D19" s="2"/>
      <c r="E19" s="2"/>
      <c r="I19" s="9" t="s">
        <v>85</v>
      </c>
      <c r="J19" s="9"/>
      <c r="K19" s="10"/>
      <c r="L19" s="12">
        <f>+L21</f>
        <v>1650</v>
      </c>
    </row>
    <row r="20" spans="2:12" x14ac:dyDescent="0.35">
      <c r="B20" s="1"/>
      <c r="C20" s="1"/>
      <c r="D20" s="2"/>
      <c r="E20" s="2"/>
      <c r="I20" s="1"/>
      <c r="J20" s="1"/>
      <c r="K20" s="2"/>
      <c r="L20" s="2"/>
    </row>
    <row r="21" spans="2:12" x14ac:dyDescent="0.35">
      <c r="B21" s="1"/>
      <c r="C21" s="1"/>
      <c r="D21" s="2"/>
      <c r="E21" s="2"/>
      <c r="I21" s="1">
        <v>4300</v>
      </c>
      <c r="J21" s="1" t="s">
        <v>86</v>
      </c>
      <c r="K21" s="2"/>
      <c r="L21" s="11">
        <v>1650</v>
      </c>
    </row>
    <row r="22" spans="2:12" x14ac:dyDescent="0.35">
      <c r="B22" s="1"/>
      <c r="C22" s="1"/>
      <c r="D22" s="2"/>
      <c r="E22" s="2"/>
      <c r="I22" s="1"/>
      <c r="J22" s="1"/>
      <c r="K22" s="2"/>
      <c r="L22" s="2"/>
    </row>
    <row r="23" spans="2:12" x14ac:dyDescent="0.35">
      <c r="B23" s="1"/>
      <c r="C23" s="1"/>
      <c r="D23" s="2"/>
      <c r="E23" s="2"/>
      <c r="I23" s="1"/>
      <c r="J23" s="1"/>
      <c r="K23" s="2"/>
      <c r="L23" s="2"/>
    </row>
    <row r="24" spans="2:12" x14ac:dyDescent="0.35">
      <c r="B24" s="1"/>
      <c r="C24" s="1"/>
      <c r="D24" s="2"/>
      <c r="E24" s="2"/>
      <c r="I24" s="9" t="s">
        <v>88</v>
      </c>
      <c r="J24" s="9"/>
      <c r="K24" s="10"/>
      <c r="L24" s="12">
        <f>SUM(L26:L31)</f>
        <v>16700</v>
      </c>
    </row>
    <row r="25" spans="2:12" x14ac:dyDescent="0.35">
      <c r="B25" s="1"/>
      <c r="C25" s="1"/>
      <c r="D25" s="2"/>
      <c r="E25" s="2"/>
      <c r="I25" s="1"/>
      <c r="J25" s="1"/>
      <c r="K25" s="2"/>
      <c r="L25" s="2"/>
    </row>
    <row r="26" spans="2:12" x14ac:dyDescent="0.35">
      <c r="B26" s="1"/>
      <c r="C26" s="1"/>
      <c r="D26" s="2"/>
      <c r="E26" s="2"/>
      <c r="I26" s="1">
        <v>4500</v>
      </c>
      <c r="J26" s="1" t="s">
        <v>89</v>
      </c>
      <c r="K26" s="2"/>
      <c r="L26" s="11">
        <v>-5500</v>
      </c>
    </row>
    <row r="27" spans="2:12" x14ac:dyDescent="0.35">
      <c r="B27" s="1"/>
      <c r="C27" s="1"/>
      <c r="D27" s="2"/>
      <c r="E27" s="2"/>
      <c r="I27" s="1">
        <v>4520</v>
      </c>
      <c r="J27" s="1" t="s">
        <v>91</v>
      </c>
      <c r="K27" s="2"/>
      <c r="L27" s="11">
        <v>2200</v>
      </c>
    </row>
    <row r="28" spans="2:12" x14ac:dyDescent="0.35">
      <c r="B28" s="1"/>
      <c r="C28" s="1"/>
      <c r="D28" s="2"/>
      <c r="E28" s="2"/>
      <c r="I28" s="1">
        <v>4530</v>
      </c>
      <c r="J28" s="1" t="s">
        <v>93</v>
      </c>
      <c r="K28" s="2"/>
      <c r="L28" s="11">
        <v>5000</v>
      </c>
    </row>
    <row r="29" spans="2:12" x14ac:dyDescent="0.35">
      <c r="B29" s="1"/>
      <c r="C29" s="1"/>
      <c r="D29" s="2"/>
      <c r="E29" s="2"/>
      <c r="I29" s="1">
        <v>4531</v>
      </c>
      <c r="J29" s="1" t="s">
        <v>95</v>
      </c>
      <c r="K29" s="2"/>
      <c r="L29" s="11">
        <v>4500</v>
      </c>
    </row>
    <row r="30" spans="2:12" x14ac:dyDescent="0.35">
      <c r="B30" s="1"/>
      <c r="C30" s="1"/>
      <c r="D30" s="2"/>
      <c r="E30" s="2"/>
      <c r="I30" s="1">
        <v>4540</v>
      </c>
      <c r="J30" s="1" t="s">
        <v>97</v>
      </c>
      <c r="K30" s="2"/>
      <c r="L30" s="11">
        <v>1000</v>
      </c>
    </row>
    <row r="31" spans="2:12" x14ac:dyDescent="0.35">
      <c r="B31" s="1"/>
      <c r="C31" s="1"/>
      <c r="D31" s="2"/>
      <c r="E31" s="2"/>
      <c r="I31" s="1">
        <v>4550</v>
      </c>
      <c r="J31" s="1" t="s">
        <v>99</v>
      </c>
      <c r="K31" s="2"/>
      <c r="L31" s="11">
        <v>9500</v>
      </c>
    </row>
    <row r="32" spans="2:12" x14ac:dyDescent="0.35">
      <c r="B32" s="1"/>
      <c r="C32" s="1"/>
      <c r="D32" s="2"/>
      <c r="E32" s="2"/>
      <c r="I32" s="1"/>
      <c r="J32" s="1"/>
      <c r="K32" s="2"/>
      <c r="L32" s="2"/>
    </row>
    <row r="33" spans="2:12" x14ac:dyDescent="0.35">
      <c r="B33" s="1"/>
      <c r="C33" s="1"/>
      <c r="D33" s="2"/>
      <c r="E33" s="2"/>
      <c r="I33" s="1"/>
      <c r="J33" s="1"/>
      <c r="K33" s="2"/>
      <c r="L33" s="2"/>
    </row>
    <row r="34" spans="2:12" x14ac:dyDescent="0.35">
      <c r="B34" s="1"/>
      <c r="C34" s="1"/>
      <c r="D34" s="2"/>
      <c r="E34" s="2"/>
      <c r="I34" s="9" t="s">
        <v>102</v>
      </c>
      <c r="J34" s="9"/>
      <c r="K34" s="10"/>
      <c r="L34" s="12">
        <f>SUM(L36:L37)</f>
        <v>24000</v>
      </c>
    </row>
    <row r="35" spans="2:12" x14ac:dyDescent="0.35">
      <c r="B35" s="1"/>
      <c r="C35" s="1"/>
      <c r="D35" s="2"/>
      <c r="E35" s="2"/>
      <c r="I35" s="1"/>
      <c r="J35" s="1"/>
      <c r="K35" s="2"/>
      <c r="L35" s="2"/>
    </row>
    <row r="36" spans="2:12" x14ac:dyDescent="0.35">
      <c r="B36" s="1"/>
      <c r="C36" s="1"/>
      <c r="D36" s="2"/>
      <c r="E36" s="2"/>
      <c r="I36" s="1">
        <v>6505</v>
      </c>
      <c r="J36" s="1" t="s">
        <v>103</v>
      </c>
      <c r="K36" s="2"/>
      <c r="L36" s="11">
        <v>19000</v>
      </c>
    </row>
    <row r="37" spans="2:12" x14ac:dyDescent="0.35">
      <c r="B37" s="1"/>
      <c r="C37" s="1"/>
      <c r="D37" s="2"/>
      <c r="E37" s="2"/>
      <c r="I37" s="1">
        <v>6590</v>
      </c>
      <c r="J37" s="1" t="s">
        <v>105</v>
      </c>
      <c r="K37" s="2"/>
      <c r="L37" s="11">
        <v>5000</v>
      </c>
    </row>
    <row r="38" spans="2:12" x14ac:dyDescent="0.35">
      <c r="B38" s="1"/>
      <c r="C38" s="1"/>
      <c r="D38" s="2"/>
      <c r="E38" s="2"/>
      <c r="I38" s="1"/>
      <c r="J38" s="1"/>
      <c r="K38" s="2"/>
      <c r="L38" s="2"/>
    </row>
    <row r="39" spans="2:12" x14ac:dyDescent="0.35">
      <c r="B39" s="1"/>
      <c r="C39" s="1"/>
      <c r="D39" s="2"/>
      <c r="E39" s="2"/>
      <c r="I39" s="1"/>
      <c r="J39" s="1"/>
      <c r="K39" s="2"/>
      <c r="L39" s="2"/>
    </row>
    <row r="40" spans="2:12" x14ac:dyDescent="0.35">
      <c r="B40" s="1"/>
      <c r="C40" s="1"/>
      <c r="D40" s="2"/>
      <c r="E40" s="2"/>
      <c r="I40" s="9" t="s">
        <v>108</v>
      </c>
      <c r="J40" s="9"/>
      <c r="K40" s="10"/>
      <c r="L40" s="12">
        <f>+L42</f>
        <v>65000</v>
      </c>
    </row>
    <row r="41" spans="2:12" x14ac:dyDescent="0.35">
      <c r="B41" s="1"/>
      <c r="C41" s="1"/>
      <c r="D41" s="2"/>
      <c r="E41" s="2"/>
      <c r="I41" s="1"/>
      <c r="J41" s="1"/>
      <c r="K41" s="2"/>
      <c r="L41" s="2"/>
    </row>
    <row r="42" spans="2:12" x14ac:dyDescent="0.35">
      <c r="B42" s="1"/>
      <c r="C42" s="1"/>
      <c r="D42" s="2"/>
      <c r="E42" s="2"/>
      <c r="I42" s="1">
        <v>6902</v>
      </c>
      <c r="J42" s="1" t="s">
        <v>109</v>
      </c>
      <c r="K42" s="2"/>
      <c r="L42" s="11">
        <v>65000</v>
      </c>
    </row>
    <row r="43" spans="2:12" x14ac:dyDescent="0.35">
      <c r="B43" s="1"/>
      <c r="C43" s="1"/>
      <c r="D43" s="2"/>
      <c r="E43" s="2"/>
      <c r="I43" s="1"/>
      <c r="J43" s="1"/>
      <c r="K43" s="2"/>
      <c r="L43" s="2"/>
    </row>
    <row r="44" spans="2:12" x14ac:dyDescent="0.35">
      <c r="B44" s="1"/>
      <c r="C44" s="1"/>
      <c r="D44" s="2"/>
      <c r="E44" s="2"/>
      <c r="I44" s="1"/>
      <c r="J44" s="1"/>
      <c r="K44" s="2"/>
      <c r="L44" s="2"/>
    </row>
    <row r="46" spans="2:12" ht="23.5" x14ac:dyDescent="0.55000000000000004">
      <c r="I46" s="14" t="s">
        <v>129</v>
      </c>
      <c r="J46" s="4"/>
      <c r="K46" s="5"/>
      <c r="L46" s="13">
        <f>+E5-L5</f>
        <v>256250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7FCF-0E23-41FA-A596-8A10A6A82F60}">
  <dimension ref="B2:B18"/>
  <sheetViews>
    <sheetView workbookViewId="0">
      <selection activeCell="B20" sqref="B20"/>
    </sheetView>
  </sheetViews>
  <sheetFormatPr baseColWidth="10" defaultRowHeight="14.5" x14ac:dyDescent="0.35"/>
  <sheetData>
    <row r="2" spans="2:2" x14ac:dyDescent="0.35">
      <c r="B2" t="s">
        <v>121</v>
      </c>
    </row>
    <row r="3" spans="2:2" x14ac:dyDescent="0.35">
      <c r="B3" t="s">
        <v>119</v>
      </c>
    </row>
    <row r="4" spans="2:2" x14ac:dyDescent="0.35">
      <c r="B4" t="s">
        <v>120</v>
      </c>
    </row>
    <row r="6" spans="2:2" x14ac:dyDescent="0.35">
      <c r="B6" t="s">
        <v>122</v>
      </c>
    </row>
    <row r="7" spans="2:2" x14ac:dyDescent="0.35">
      <c r="B7" t="s">
        <v>123</v>
      </c>
    </row>
    <row r="8" spans="2:2" x14ac:dyDescent="0.35">
      <c r="B8" t="s">
        <v>124</v>
      </c>
    </row>
    <row r="10" spans="2:2" x14ac:dyDescent="0.35">
      <c r="B10" t="s">
        <v>115</v>
      </c>
    </row>
    <row r="11" spans="2:2" x14ac:dyDescent="0.35">
      <c r="B11" t="s">
        <v>116</v>
      </c>
    </row>
    <row r="12" spans="2:2" x14ac:dyDescent="0.35">
      <c r="B12" t="s">
        <v>117</v>
      </c>
    </row>
    <row r="13" spans="2:2" x14ac:dyDescent="0.35">
      <c r="B13" t="s">
        <v>118</v>
      </c>
    </row>
    <row r="15" spans="2:2" x14ac:dyDescent="0.35">
      <c r="B15" t="s">
        <v>125</v>
      </c>
    </row>
    <row r="16" spans="2:2" x14ac:dyDescent="0.35">
      <c r="B16" t="s">
        <v>126</v>
      </c>
    </row>
    <row r="17" spans="2:2" x14ac:dyDescent="0.35">
      <c r="B17" t="s">
        <v>127</v>
      </c>
    </row>
    <row r="18" spans="2:2" x14ac:dyDescent="0.35">
      <c r="B18" t="s">
        <v>128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Bilanz</vt:lpstr>
      <vt:lpstr>Erfolgsrechnung</vt:lpstr>
      <vt:lpstr>Budget 26</vt:lpstr>
      <vt:lpstr>Informationen Abschluss 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Fairwalter AG</dc:creator>
  <cp:keywords/>
  <dc:description/>
  <cp:lastModifiedBy>Kai Henke</cp:lastModifiedBy>
  <dcterms:created xsi:type="dcterms:W3CDTF">2025-11-03T14:31:40Z</dcterms:created>
  <dcterms:modified xsi:type="dcterms:W3CDTF">2025-11-03T14:54:45Z</dcterms:modified>
  <cp:category/>
</cp:coreProperties>
</file>